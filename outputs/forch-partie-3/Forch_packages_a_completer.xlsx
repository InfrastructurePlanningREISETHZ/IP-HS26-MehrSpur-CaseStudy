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7202ac3cf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ventions" sheetId="1" r:id="Ra1dbcaf2411c4a03"/>
    <x:sheet xmlns:r="http://schemas.openxmlformats.org/officeDocument/2006/relationships" name="Valeurs et coûts" sheetId="2" r:id="R462f03f76a014a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%"/>
    <x:numFmt numFmtId="202" formatCode="#,##0"/>
    <x:numFmt numFmtId="203" formatCode="0"/>
  </x:numFmts>
  <x:fonts count="5">
    <x:font>
      <x:sz val="11"/>
      <x:name val="Carlito"/>
    </x:font>
    <x:font>
      <x:sz val="11"/>
      <x:color rgb="FF253449"/>
      <x:name val="Arial"/>
    </x:font>
    <x:font>
      <x:b/>
      <x:sz val="16"/>
      <x:color rgb="FF1D3653"/>
      <x:name val="Arial"/>
    </x:font>
    <x:font>
      <x:sz val="11"/>
      <x:color rgb="FF52617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3653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e8f665eca462c" /><Relationship Type="http://schemas.openxmlformats.org/officeDocument/2006/relationships/theme" Target="/xl/theme/theme1.xml" Id="R86ffe89674b64d09" /><Relationship Type="http://schemas.openxmlformats.org/officeDocument/2006/relationships/sharedStrings" Target="/xl/sharedStrings.xml" Id="Rad02aa35c130405c" /><Relationship Type="http://schemas.openxmlformats.org/officeDocument/2006/relationships/worksheet" Target="/xl/worksheets/sheet1.xml" Id="Ra1dbcaf2411c4a03" /><Relationship Type="http://schemas.openxmlformats.org/officeDocument/2006/relationships/worksheet" Target="/xl/worksheets/sheet2.xml" Id="R462f03f76a014a0b" /></Relationships>
</file>

<file path=xl/tables/table1.xml><?xml version="1.0" encoding="utf-8"?>
<x:table xmlns:x="http://schemas.openxmlformats.org/spreadsheetml/2006/main" id="1" name="InterventionsTable" displayName="InterventionsTable" ref="A7:L25" headerRowCount="1" totalsRowCount="0" totalsRowShown="0">
  <x:tableColumns count="12">
    <x:tableColumn id="1" name="ID"/>
    <x:tableColumn id="2" name="Package"/>
    <x:tableColumn id="3" name="Aménagement"/>
    <x:tableColumn id="4" name="Origine de la mesure"/>
    <x:tableColumn id="5" name="Localisation / tracé"/>
    <x:tableColumn id="6" name="Modification physique"/>
    <x:tableColumn id="7" name="Usagers / effets attendus"/>
    <x:tableColumn id="8" name="Source et page"/>
    <x:tableColumn id="9" name="Informations à récupérer"/>
    <x:tableColumn id="10" name="Fonctionne sans l’autre package ?"/>
    <x:tableColumn id="11" name="Limites / chevauchements"/>
    <x:tableColumn id="12" name="Avance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eursetcoûtsTable" displayName="ValeursetcoûtsTable" ref="A7:M25" headerRowCount="1" totalsRowCount="0" totalsRowShown="0">
  <x:tableColumns count="13">
    <x:tableColumn id="1" name="ID intervention"/>
    <x:tableColumn id="2" name="Paramètre / grandeur"/>
    <x:tableColumn id="3" name="Valeur référence"/>
    <x:tableColumn id="4" name="Valeur après travaux"/>
    <x:tableColumn id="5" name="Unité"/>
    <x:tableColumn id="6" name="Variation (%) calculée"/>
    <x:tableColumn id="7" name="Investissement (CHF)"/>
    <x:tableColumn id="8" name="Exploitation + entretien (CHF/an)"/>
    <x:tableColumn id="9" name="Durée de vie (ans)"/>
    <x:tableColumn id="10" name="Source / calcul / page"/>
    <x:tableColumn id="11" name="Zones / OD / tronçons à confirmer"/>
    <x:tableColumn id="12" name="Clé du modèle envisagée"/>
    <x:tableColumn id="13" name="Effets hors du modè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b0fad09f5e49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03f60a2e394c3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32" hidden="0" customWidth="1"/>
    <x:col min="4" max="4" width="27" hidden="0" customWidth="1"/>
    <x:col min="5" max="5" width="32" hidden="0" customWidth="1"/>
    <x:col min="6" max="6" width="40" hidden="0" customWidth="1"/>
    <x:col min="7" max="7" width="34" hidden="0" customWidth="1"/>
    <x:col min="8" max="8" width="65" hidden="0" customWidth="1"/>
    <x:col min="9" max="9" width="47" hidden="0" customWidth="1"/>
    <x:col min="10" max="10" width="27" hidden="0" customWidth="1"/>
    <x:col min="11" max="11" width="60" hidden="0" customWidth="1"/>
    <x:col min="12" max="12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Forch • Définition des deux packages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1. Compléter les lignes préremplies, puis ajouter une ligne par mesure. Champs jaunes : à préciser ou confirmer.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3" t="str">
        <x:v>2. Chaque package doit fonctionner seul. Ne pas compter les mêmes travaux ou bénéfices dans les deux packages.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3" t="str">
        <x:v>3. Le Leitbild décrit une vision à long terme ; les propositions et les chiffres restent à valider.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8" customHeight="1">
      <x:c r="A7" s="8" t="str">
        <x:v>ID</x:v>
      </x:c>
      <x:c r="B7" s="8" t="str">
        <x:v>Package</x:v>
      </x:c>
      <x:c r="C7" s="8" t="str">
        <x:v>Aménagement</x:v>
      </x:c>
      <x:c r="D7" s="8" t="str">
        <x:v>Origine de la mesure</x:v>
      </x:c>
      <x:c r="E7" s="8" t="str">
        <x:v>Localisation / tracé</x:v>
      </x:c>
      <x:c r="F7" s="8" t="str">
        <x:v>Modification physique</x:v>
      </x:c>
      <x:c r="G7" s="8" t="str">
        <x:v>Usagers / effets attendus</x:v>
      </x:c>
      <x:c r="H7" s="8" t="str">
        <x:v>Source et page</x:v>
      </x:c>
      <x:c r="I7" s="8" t="str">
        <x:v>Informations à récupérer</x:v>
      </x:c>
      <x:c r="J7" s="8" t="str">
        <x:v>Fonctionne sans l’autre package ?</x:v>
      </x:c>
      <x:c r="K7" s="8" t="str">
        <x:v>Limites / chevauchements</x:v>
      </x:c>
      <x:c r="L7" s="8" t="str">
        <x:v>Avancement</x:v>
      </x:c>
    </x:row>
    <x:row r="8" ht="100" customHeight="1">
      <x:c r="A8" s="10" t="str">
        <x:v>P1-01</x:v>
      </x:c>
      <x:c r="B8" s="10" t="str">
        <x:v>Package 1</x:v>
      </x:c>
      <x:c r="C8" s="10" t="str">
        <x:v>Garage souterrain</x:v>
      </x:c>
      <x:c r="D8" s="11" t="str">
        <x:v>Orientation officielle</x:v>
      </x:c>
      <x:c r="E8" s="11" t="str">
        <x:v>Bahnhofsraum Mitte</x:v>
      </x:c>
      <x:c r="F8" s="11" t="str">
        <x:v>Remplacer le parking de surface et libérer le sol</x:v>
      </x:c>
      <x:c r="G8" s="11" t="str">
        <x:v>Park &amp; Ride, accès et espace public</x:v>
      </x:c>
      <x:c r="H8" s="10" t="str">
        <x:v>Synthesebericht Leitbild Fokus Forch, 17.02.2025, p. 15 et 20. https://www.kuesnacht.ch/themen-projekte/entwicklungsplanung-fokus-forch.page/1005</x:v>
      </x:c>
      <x:c r="I8" s="11" t="str">
        <x:v>Capacité, accès, coûts, statut et dépendances</x:v>
      </x:c>
      <x:c r="J8" s="11" t="str">
        <x:v>À définir</x:v>
      </x:c>
      <x:c r="K8" s="11" t="str">
        <x:v>Vérifier les effets sur les accès et la circulation</x:v>
      </x:c>
      <x:c r="L8" s="11" t="str">
        <x:v>À compléter</x:v>
      </x:c>
    </x:row>
    <x:row r="9" ht="100" customHeight="1">
      <x:c r="A9" s="10" t="str">
        <x:v>P1-02</x:v>
      </x:c>
      <x:c r="B9" s="10" t="str">
        <x:v>Package 1</x:v>
      </x:c>
      <x:c r="C9" s="10" t="str">
        <x:v>Arrêt bus et correspondances</x:v>
      </x:c>
      <x:c r="D9" s="11" t="str">
        <x:v>Orientation officielle</x:v>
      </x:c>
      <x:c r="E9" s="11" t="str">
        <x:v>Place centrale de la gare</x:v>
      </x:c>
      <x:c r="F9" s="11" t="str">
        <x:v>Rapprocher le bus des accès ferroviaires</x:v>
      </x:c>
      <x:c r="G9" s="11" t="str">
        <x:v>Correspondances bus–Forchbahn</x:v>
      </x:c>
      <x:c r="H9" s="10" t="str">
        <x:v>Synthesebericht Leitbild Fokus Forch, 17.02.2025, p. 15 et 20. https://www.kuesnacht.ch/themen-projekte/entwicklungsplanung-fokus-forch.page/1005</x:v>
      </x:c>
      <x:c r="I9" s="11" t="str">
        <x:v>Plan, distances, temps de correspondance</x:v>
      </x:c>
      <x:c r="J9" s="11" t="str">
        <x:v>À définir</x:v>
      </x:c>
      <x:c r="K9" s="11" t="str">
        <x:v>Distinguer attente et marche de correspondance</x:v>
      </x:c>
      <x:c r="L9" s="11" t="str">
        <x:v>À compléter</x:v>
      </x:c>
    </x:row>
    <x:row r="10" ht="100" customHeight="1">
      <x:c r="A10" s="10" t="str">
        <x:v>P1-03</x:v>
      </x:c>
      <x:c r="B10" s="10" t="str">
        <x:v>Package 1</x:v>
      </x:c>
      <x:c r="C10" s="10" t="str">
        <x:v>Liaison Forch–Schwerzenbach</x:v>
      </x:c>
      <x:c r="D10" s="11" t="str">
        <x:v>Statut à vérifier</x:v>
      </x:c>
      <x:c r="E10" s="11" t="str">
        <x:v>Forch et Schwerzenbach</x:v>
      </x:c>
      <x:c r="F10" s="11" t="str">
        <x:v>Renforcer la connexion vers le Glattal</x:v>
      </x:c>
      <x:c r="G10" s="11" t="str">
        <x:v>Trajets TP sur les relations desservies</x:v>
      </x:c>
      <x:c r="H10" s="10" t="str">
        <x:v>Küsnacht, communiqué du 27.02.2025 : mise en service annoncée en décembre 2025. https://www.kuesnacht.ch/gemeinde/aktuelles.page/847/news/13777</x:v>
      </x:c>
      <x:c r="I10" s="11" t="str">
        <x:v>Existence en référence 2026, horaires et données TP</x:v>
      </x:c>
      <x:c r="J10" s="11" t="str">
        <x:v>À définir</x:v>
      </x:c>
      <x:c r="K10" s="11" t="str">
        <x:v>Si déjà en référence, ne pas compter sa création comme bénéfice nouveau</x:v>
      </x:c>
      <x:c r="L10" s="11" t="str">
        <x:v>À compléter</x:v>
      </x:c>
    </x:row>
    <x:row r="11" ht="100" customHeight="1">
      <x:c r="A11" s="10" t="str">
        <x:v>P1-04</x:v>
      </x:c>
      <x:c r="B11" s="10" t="str">
        <x:v>Package 1</x:v>
      </x:c>
      <x:c r="C11" s="10" t="str">
        <x:v>Stationnement vélo</x:v>
      </x:c>
      <x:c r="D11" s="11" t="str">
        <x:v>À confirmer dans les sources</x:v>
      </x:c>
      <x:c r="E11" s="11" t="str">
        <x:v>Autour de la gare</x:v>
      </x:c>
      <x:c r="F11" s="11" t="str">
        <x:v>Faciliter le Bike &amp; Ride</x:v>
      </x:c>
      <x:c r="G11" s="11" t="str">
        <x:v>Stationnement et accès vélo aux TP</x:v>
      </x:c>
      <x:c r="H11" s="10" t="str">
        <x:v>Report Hub : piste de travail, quantité officielle à vérifier</x:v>
      </x:c>
      <x:c r="I11" s="11" t="str">
        <x:v>Nombre existant et prévu, localisation, coûts</x:v>
      </x:c>
      <x:c r="J11" s="11" t="str">
        <x:v>À définir</x:v>
      </x:c>
      <x:c r="K11" s="11" t="str">
        <x:v>Des places supplémentaires ne réduisent pas automatiquement le temps à vélo</x:v>
      </x:c>
      <x:c r="L11" s="11" t="str">
        <x:v>À compléter</x:v>
      </x:c>
    </x:row>
    <x:row r="12" ht="100" customHeight="1">
      <x:c r="A12" s="10" t="str">
        <x:v>P1-05</x:v>
      </x:c>
      <x:c r="B12" s="10" t="str">
        <x:v>Package 1</x:v>
      </x:c>
      <x:c r="C12" s="10" t="str">
        <x:v>Commerces, services, bureaux et logements</x:v>
      </x:c>
      <x:c r="D12" s="11" t="str">
        <x:v>Orientation officielle</x:v>
      </x:c>
      <x:c r="E12" s="11" t="str">
        <x:v>Bahnhofsraum Mitte et Forchterrasse</x:v>
      </x:c>
      <x:c r="F12" s="11" t="str">
        <x:v>Développer les activités et le logement</x:v>
      </x:c>
      <x:c r="G12" s="11" t="str">
        <x:v>Demande supplémentaire et nouvelles destinations</x:v>
      </x:c>
      <x:c r="H12" s="10" t="str">
        <x:v>Synthesebericht Leitbild Fokus Forch, 17.02.2025, p. 12 et 16–17, 20 et 22. https://www.kuesnacht.ch/themen-projekte/entwicklungsplanung-fokus-forch.page/1005</x:v>
      </x:c>
      <x:c r="I12" s="11" t="str">
        <x:v>Programme, emplois, habitants, horizon, frontière des coûts</x:v>
      </x:c>
      <x:c r="J12" s="11" t="str">
        <x:v>À définir</x:v>
      </x:c>
      <x:c r="K12" s="11" t="str">
        <x:v>Nouvelle demande à traiter avec les parties 1–2, sans double comptage</x:v>
      </x:c>
      <x:c r="L12" s="11" t="str">
        <x:v>À compléter</x:v>
      </x:c>
    </x:row>
    <x:row r="13" ht="100" customHeight="1">
      <x:c r="A13" s="10" t="str">
        <x:v>P1-06</x:v>
      </x:c>
      <x:c r="B13" s="10" t="str">
        <x:v>Package 1</x:v>
      </x:c>
      <x:c r="C13" s="10" t="str">
        <x:v>Places de rencontre et espaces verts</x:v>
      </x:c>
      <x:c r="D13" s="11" t="str">
        <x:v>Orientation officielle</x:v>
      </x:c>
      <x:c r="E13" s="11" t="str">
        <x:v>Gare, Krone, Forchterrasse, Grossacher</x:v>
      </x:c>
      <x:c r="F13" s="11" t="str">
        <x:v>Améliorer les espaces publics</x:v>
      </x:c>
      <x:c r="G13" s="11" t="str">
        <x:v>Séjour, sociabilité, qualité urbaine</x:v>
      </x:c>
      <x:c r="H13" s="10" t="str">
        <x:v>Synthesebericht Leitbild Fokus Forch, 17.02.2025, p. 14 et 19–22. https://www.kuesnacht.ch/themen-projekte/entwicklungsplanung-fokus-forch.page/1005</x:v>
      </x:c>
      <x:c r="I13" s="11" t="str">
        <x:v>Surfaces, programme, coûts et indicateurs qualitatifs</x:v>
      </x:c>
      <x:c r="J13" s="11" t="str">
        <x:v>À définir</x:v>
      </x:c>
      <x:c r="K13" s="11" t="str">
        <x:v>Les bénéfices sociaux ne se déduisent pas automatiquement des trajets TP</x:v>
      </x:c>
      <x:c r="L13" s="11" t="str">
        <x:v>À compléter</x:v>
      </x:c>
    </x:row>
    <x:row r="14" ht="100" customHeight="1">
      <x:c r="A14" s="10" t="str">
        <x:v>P1-07</x:v>
      </x:c>
      <x:c r="B14" s="10" t="str">
        <x:v>Package 1</x:v>
      </x:c>
      <x:c r="C14" s="10" t="str">
        <x:v>Cheminements locaux piétons et cyclables</x:v>
      </x:c>
      <x:c r="D14" s="11" t="str">
        <x:v>Orientation officielle</x:v>
      </x:c>
      <x:c r="E14" s="11" t="str">
        <x:v>Quartiers proches et liaisons entre les sous-secteurs</x:v>
      </x:c>
      <x:c r="F14" s="11" t="str">
        <x:v>Compléter le réseau local vers la gare</x:v>
      </x:c>
      <x:c r="G14" s="11" t="str">
        <x:v>Accès piétons et cyclables</x:v>
      </x:c>
      <x:c r="H14" s="10" t="str">
        <x:v>Synthesebericht Leitbild Fokus Forch, 17.02.2025, p. 13 et 20. https://www.kuesnacht.ch/themen-projekte/entwicklungsplanung-fokus-forch.page/1005</x:v>
      </x:c>
      <x:c r="I14" s="11" t="str">
        <x:v>Tracés, distances avant/après, arrêts concernés</x:v>
      </x:c>
      <x:c r="J14" s="11" t="str">
        <x:v>À définir</x:v>
      </x:c>
      <x:c r="K14" s="11" t="str">
        <x:v>Délimiter les travaux officiels pour les séparer du package 2</x:v>
      </x:c>
      <x:c r="L14" s="11" t="str">
        <x:v>À compléter</x:v>
      </x:c>
    </x:row>
    <x:row r="15" ht="100" customHeight="1">
      <x:c r="A15" s="10" t="str">
        <x:v>P2-01</x:v>
      </x:c>
      <x:c r="B15" s="10" t="str">
        <x:v>Package 2</x:v>
      </x:c>
      <x:c r="C15" s="10" t="str">
        <x:v>Axes cyclables supplémentaires</x:v>
      </x:c>
      <x:c r="D15" s="11" t="str">
        <x:v>Proposition du groupe</x:v>
      </x:c>
      <x:c r="E15" s="11" t="str">
        <x:v>À choisir au-delà des travaux du package 1</x:v>
      </x:c>
      <x:c r="F15" s="11" t="str">
        <x:v>Relier les quartiers voisins à la gare existante</x:v>
      </x:c>
      <x:c r="G15" s="11" t="str">
        <x:v>Vélo et/ou accès vélo aux TP</x:v>
      </x:c>
      <x:c r="H15" s="10" t="str">
        <x:v>À rechercher</x:v>
      </x:c>
      <x:c r="I15" s="11" t="str">
        <x:v>Tracés, quartiers, distances, sécurité, coûts</x:v>
      </x:c>
      <x:c r="J15" s="11" t="str">
        <x:v>À définir</x:v>
      </x:c>
      <x:c r="K15" s="11" t="str">
        <x:v>Vérifier le fonctionnement sans package 1 et la représentation Bike &amp; Ride</x:v>
      </x:c>
      <x:c r="L15" s="11" t="str">
        <x:v>À compléter</x:v>
      </x:c>
    </x:row>
    <x:row r="16" ht="100" customHeight="1">
      <x:c r="A16" s="10" t="str">
        <x:v>P2-02</x:v>
      </x:c>
      <x:c r="B16" s="10" t="str">
        <x:v>Package 2</x:v>
      </x:c>
      <x:c r="C16" s="10" t="str">
        <x:v>Accès piétons supplémentaires</x:v>
      </x:c>
      <x:c r="D16" s="11" t="str">
        <x:v>Proposition du groupe</x:v>
      </x:c>
      <x:c r="E16" s="11" t="str">
        <x:v>À choisir au-delà des travaux du package 1</x:v>
      </x:c>
      <x:c r="F16" s="11" t="str">
        <x:v>Réduire les détours et améliorer les traversées</x:v>
      </x:c>
      <x:c r="G16" s="11" t="str">
        <x:v>Accès à pied aux TP et sécurité</x:v>
      </x:c>
      <x:c r="H16" s="10" t="str">
        <x:v>À rechercher</x:v>
      </x:c>
      <x:c r="I16" s="11" t="str">
        <x:v>Chemins, distances, traversées, usagers, coûts</x:v>
      </x:c>
      <x:c r="J16" s="11" t="str">
        <x:v>À définir</x:v>
      </x:c>
      <x:c r="K16" s="11" t="str">
        <x:v>Distinguer gains de temps et effets qualitatifs</x:v>
      </x:c>
      <x:c r="L16" s="11" t="str">
        <x:v>À compléter</x:v>
      </x:c>
    </x:row>
    <x:row r="17" ht="100" customHeight="1">
      <x:c r="A17" s="10" t="str">
        <x:v>P2-03</x:v>
      </x:c>
      <x:c r="B17" s="10" t="str">
        <x:v>Package 2</x:v>
      </x:c>
      <x:c r="C17" s="10" t="str">
        <x:v>Réallocation de l’espace routier</x:v>
      </x:c>
      <x:c r="D17" s="11" t="str">
        <x:v>Proposition du groupe</x:v>
      </x:c>
      <x:c r="E17" s="11" t="str">
        <x:v>Tronçons précis à sélectionner</x:v>
      </x:c>
      <x:c r="F17" s="11" t="str">
        <x:v>Réaffecter l’espace aux piétons et cyclistes</x:v>
      </x:c>
      <x:c r="G17" s="11" t="str">
        <x:v>Capacité, vitesse et reports de trafic</x:v>
      </x:c>
      <x:c r="H17" s="10" t="str">
        <x:v>À rechercher</x:v>
      </x:c>
      <x:c r="I17" s="11" t="str">
        <x:v>Sections, voies, sens, capacité avant/après, dépendances</x:v>
      </x:c>
      <x:c r="J17" s="11" t="str">
        <x:v>À définir</x:v>
      </x:c>
      <x:c r="K17" s="11" t="str">
        <x:v>Tempo 30 ne signifie pas automatiquement capacité réduite ; vérifier indépendance du garage</x:v>
      </x:c>
      <x:c r="L17" s="11" t="str">
        <x:v>À compléter</x:v>
      </x:c>
    </x:row>
    <x:row r="18" ht="100" customHeight="1">
      <x:c r="A18" s="10"/>
      <x:c r="B18" s="10"/>
      <x:c r="C18" s="10"/>
      <x:c r="D18" s="11"/>
      <x:c r="E18" s="11"/>
      <x:c r="F18" s="11"/>
      <x:c r="G18" s="11"/>
      <x:c r="H18" s="10"/>
      <x:c r="I18" s="11"/>
      <x:c r="J18" s="11"/>
      <x:c r="K18" s="11"/>
      <x:c r="L18" s="11"/>
    </x:row>
    <x:row r="19" ht="100" customHeight="1">
      <x:c r="A19" s="10"/>
      <x:c r="B19" s="10"/>
      <x:c r="C19" s="10"/>
      <x:c r="D19" s="11"/>
      <x:c r="E19" s="11"/>
      <x:c r="F19" s="11"/>
      <x:c r="G19" s="11"/>
      <x:c r="H19" s="10"/>
      <x:c r="I19" s="11"/>
      <x:c r="J19" s="11"/>
      <x:c r="K19" s="11"/>
      <x:c r="L19" s="11"/>
    </x:row>
    <x:row r="20" ht="100" customHeight="1">
      <x:c r="A20" s="10"/>
      <x:c r="B20" s="10"/>
      <x:c r="C20" s="10"/>
      <x:c r="D20" s="11"/>
      <x:c r="E20" s="11"/>
      <x:c r="F20" s="11"/>
      <x:c r="G20" s="11"/>
      <x:c r="H20" s="10"/>
      <x:c r="I20" s="11"/>
      <x:c r="J20" s="11"/>
      <x:c r="K20" s="11"/>
      <x:c r="L20" s="11"/>
    </x:row>
    <x:row r="21" ht="100" customHeight="1">
      <x:c r="A21" s="10"/>
      <x:c r="B21" s="10"/>
      <x:c r="C21" s="10"/>
      <x:c r="D21" s="11"/>
      <x:c r="E21" s="11"/>
      <x:c r="F21" s="11"/>
      <x:c r="G21" s="11"/>
      <x:c r="H21" s="10"/>
      <x:c r="I21" s="11"/>
      <x:c r="J21" s="11"/>
      <x:c r="K21" s="11"/>
      <x:c r="L21" s="11"/>
    </x:row>
    <x:row r="22" ht="100" customHeight="1">
      <x:c r="A22" s="10"/>
      <x:c r="B22" s="10"/>
      <x:c r="C22" s="10"/>
      <x:c r="D22" s="11"/>
      <x:c r="E22" s="11"/>
      <x:c r="F22" s="11"/>
      <x:c r="G22" s="11"/>
      <x:c r="H22" s="10"/>
      <x:c r="I22" s="11"/>
      <x:c r="J22" s="11"/>
      <x:c r="K22" s="11"/>
      <x:c r="L22" s="11"/>
    </x:row>
    <x:row r="23" ht="100" customHeight="1">
      <x:c r="A23" s="10"/>
      <x:c r="B23" s="10"/>
      <x:c r="C23" s="10"/>
      <x:c r="D23" s="11"/>
      <x:c r="E23" s="11"/>
      <x:c r="F23" s="11"/>
      <x:c r="G23" s="11"/>
      <x:c r="H23" s="10"/>
      <x:c r="I23" s="11"/>
      <x:c r="J23" s="11"/>
      <x:c r="K23" s="11"/>
      <x:c r="L23" s="11"/>
    </x:row>
    <x:row r="24" ht="100" customHeight="1">
      <x:c r="A24" s="10"/>
      <x:c r="B24" s="10"/>
      <x:c r="C24" s="10"/>
      <x:c r="D24" s="11"/>
      <x:c r="E24" s="11"/>
      <x:c r="F24" s="11"/>
      <x:c r="G24" s="11"/>
      <x:c r="H24" s="10"/>
      <x:c r="I24" s="11"/>
      <x:c r="J24" s="11"/>
      <x:c r="K24" s="11"/>
      <x:c r="L24" s="11"/>
    </x:row>
    <x:row r="25" ht="100" customHeight="1">
      <x:c r="A25" s="10"/>
      <x:c r="B25" s="10"/>
      <x:c r="C25" s="10"/>
      <x:c r="D25" s="11"/>
      <x:c r="E25" s="11"/>
      <x:c r="F25" s="11"/>
      <x:c r="G25" s="11"/>
      <x:c r="H25" s="10"/>
      <x:c r="I25" s="11"/>
      <x:c r="J25" s="11"/>
      <x:c r="K25" s="11"/>
      <x:c r="L25" s="11"/>
    </x:row>
  </x:sheetData>
  <x:dataValidations count="4">
    <x:dataValidation type="list" sqref="B8:B25">
      <x:formula1>"Package 1,Package 2"</x:formula1>
    </x:dataValidation>
    <x:dataValidation type="list" sqref="D8:D25">
      <x:formula1>"Orientation officielle,À confirmer dans les sources,Proposition du groupe,Statut à vérifier"</x:formula1>
    </x:dataValidation>
    <x:dataValidation type="list" sqref="J8:J25">
      <x:formula1>"À définir,Oui,Non,À vérifier"</x:formula1>
    </x:dataValidation>
    <x:dataValidation type="list" sqref="L8:L25">
      <x:formula1>"À compléter,En recherche,À valider,Retenu,Écarté"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b0fad09f5e49b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9" hidden="0" customWidth="1"/>
    <x:col min="4" max="4" width="20" hidden="0" customWidth="1"/>
    <x:col min="5" max="5" width="21" hidden="0" customWidth="1"/>
    <x:col min="6" max="6" width="23" hidden="0" customWidth="1"/>
    <x:col min="7" max="7" width="25" hidden="0" customWidth="1"/>
    <x:col min="8" max="8" width="29" hidden="0" customWidth="1"/>
    <x:col min="9" max="9" width="22" hidden="0" customWidth="1"/>
    <x:col min="10" max="10" width="57" hidden="0" customWidth="1"/>
    <x:col min="11" max="11" width="43" hidden="0" customWidth="1"/>
    <x:col min="12" max="12" width="28" hidden="0" customWidth="1"/>
    <x:col min="13" max="13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Forch • Valeurs à justifier et à saisir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Une ligne par paramètre. Réutiliser le même ID pour plusieurs effets ; inscrire les coûts une seule fois par intervention.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3" t="str">
        <x:v>Cellules jaunes : saisie. Colonne F : (après − référence) / référence. Négatif = diminution ; aucun résultat si référence nulle.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3" t="str">
        <x:v>Dans le code, une réduction de 20 % se saisit souvent 20.0 ; une fraction de capacité de 20 % se saisit 0.20. Vérifier chaque clé.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48" customHeight="1">
      <x:c r="A7" s="8" t="str">
        <x:v>ID intervention</x:v>
      </x:c>
      <x:c r="B7" s="8" t="str">
        <x:v>Paramètre / grandeur</x:v>
      </x:c>
      <x:c r="C7" s="8" t="str">
        <x:v>Valeur référence</x:v>
      </x:c>
      <x:c r="D7" s="8" t="str">
        <x:v>Valeur après travaux</x:v>
      </x:c>
      <x:c r="E7" s="8" t="str">
        <x:v>Unité</x:v>
      </x:c>
      <x:c r="F7" s="8" t="str">
        <x:v>Variation (%) calculée</x:v>
      </x:c>
      <x:c r="G7" s="8" t="str">
        <x:v>Investissement (CHF)</x:v>
      </x:c>
      <x:c r="H7" s="8" t="str">
        <x:v>Exploitation + entretien (CHF/an)</x:v>
      </x:c>
      <x:c r="I7" s="8" t="str">
        <x:v>Durée de vie (ans)</x:v>
      </x:c>
      <x:c r="J7" s="8" t="str">
        <x:v>Source / calcul / page</x:v>
      </x:c>
      <x:c r="K7" s="8" t="str">
        <x:v>Zones / OD / tronçons à confirmer</x:v>
      </x:c>
      <x:c r="L7" s="8" t="str">
        <x:v>Clé du modèle envisagée</x:v>
      </x:c>
      <x:c r="M7" s="8" t="str">
        <x:v>Effets hors du modèle</x:v>
      </x:c>
    </x:row>
    <x:row r="8" ht="100" customHeight="1">
      <x:c r="A8" s="11" t="str">
        <x:v>P1-01</x:v>
      </x:c>
      <x:c r="B8" s="11" t="str">
        <x:v>Accès parking / gare</x:v>
      </x:c>
      <x:c r="C8" s="12"/>
      <x:c r="D8" s="12"/>
      <x:c r="E8" s="11" t="str">
        <x:v>min</x:v>
      </x:c>
      <x:c r="F8" s="13" t="str">
        <x:f>IF(AND(ISNUMBER(C8),ISNUMBER(D8)),IF(C8=0,"",(D8-C8)/C8),"")</x:f>
      </x:c>
      <x:c r="G8" s="14"/>
      <x:c r="H8" s="14"/>
      <x:c r="I8" s="15"/>
      <x:c r="J8" s="11" t="str"/>
      <x:c r="K8" s="11" t="str">
        <x:v>À préciser avec la référence</x:v>
      </x:c>
      <x:c r="L8" s="11" t="str"/>
      <x:c r="M8" s="11" t="str">
        <x:v>Qualité des espaces libérés</x:v>
      </x:c>
    </x:row>
    <x:row r="9" ht="100" customHeight="1">
      <x:c r="A9" s="11" t="str">
        <x:v>P1-02</x:v>
      </x:c>
      <x:c r="B9" s="11" t="str">
        <x:v>Marche de correspondance</x:v>
      </x:c>
      <x:c r="C9" s="12"/>
      <x:c r="D9" s="12"/>
      <x:c r="E9" s="11" t="str">
        <x:v>min</x:v>
      </x:c>
      <x:c r="F9" s="13" t="str">
        <x:f>IF(AND(ISNUMBER(C9),ISNUMBER(D9)),IF(C9=0,"",(D9-C9)/C9),"")</x:f>
      </x:c>
      <x:c r="G9" s="14"/>
      <x:c r="H9" s="14"/>
      <x:c r="I9" s="15"/>
      <x:c r="J9" s="11" t="str"/>
      <x:c r="K9" s="11" t="str">
        <x:v>Arrêts et relations concernés</x:v>
      </x:c>
      <x:c r="L9" s="11" t="str">
        <x:v>mobility_hubs</x:v>
      </x:c>
      <x:c r="M9" s="11" t="str">
        <x:v>Confort et accessibilité</x:v>
      </x:c>
    </x:row>
    <x:row r="10" ht="100" customHeight="1">
      <x:c r="A10" s="11" t="str">
        <x:v>P1-03</x:v>
      </x:c>
      <x:c r="B10" s="11" t="str">
        <x:v>Intervalle entre bus</x:v>
      </x:c>
      <x:c r="C10" s="12"/>
      <x:c r="D10" s="12"/>
      <x:c r="E10" s="11" t="str">
        <x:v>min</x:v>
      </x:c>
      <x:c r="F10" s="13" t="str">
        <x:f>IF(AND(ISNUMBER(C10),ISNUMBER(D10)),IF(C10=0,"",(D10-C10)/C10),"")</x:f>
      </x:c>
      <x:c r="G10" s="14"/>
      <x:c r="H10" s="14"/>
      <x:c r="I10" s="15"/>
      <x:c r="J10" s="11" t="str">
        <x:v>Vérifier la présence dans la référence 2026</x:v>
      </x:c>
      <x:c r="K10" s="11" t="str">
        <x:v>Relations réellement desservies</x:v>
      </x:c>
      <x:c r="L10" s="11" t="str">
        <x:v>railway_expansions</x:v>
      </x:c>
      <x:c r="M10" s="11" t="str">
        <x:v>Création de ligne à vérifier dans les données</x:v>
      </x:c>
    </x:row>
    <x:row r="11" ht="100" customHeight="1">
      <x:c r="A11" s="11" t="str">
        <x:v>P1-04</x:v>
      </x:c>
      <x:c r="B11" s="11" t="str">
        <x:v>Capacité de stationnement vélo</x:v>
      </x:c>
      <x:c r="C11" s="12"/>
      <x:c r="D11" s="12"/>
      <x:c r="E11" s="11" t="str">
        <x:v>places</x:v>
      </x:c>
      <x:c r="F11" s="13" t="str">
        <x:f>IF(AND(ISNUMBER(C11),ISNUMBER(D11)),IF(C11=0,"",(D11-C11)/C11),"")</x:f>
      </x:c>
      <x:c r="G11" s="14"/>
      <x:c r="H11" s="14"/>
      <x:c r="I11" s="15"/>
      <x:c r="J11" s="11" t="str"/>
      <x:c r="K11" s="11" t="str">
        <x:v>Emplacement et arrêts concernés</x:v>
      </x:c>
      <x:c r="L11" s="11" t="str"/>
      <x:c r="M11" s="11" t="str">
        <x:v>Saturation du stationnement</x:v>
      </x:c>
    </x:row>
    <x:row r="12" ht="100" customHeight="1">
      <x:c r="A12" s="11" t="str">
        <x:v>P1-05</x:v>
      </x:c>
      <x:c r="B12" s="11" t="str">
        <x:v>Habitants / emplois</x:v>
      </x:c>
      <x:c r="C12" s="12"/>
      <x:c r="D12" s="12"/>
      <x:c r="E12" s="11" t="str">
        <x:v>À préciser</x:v>
      </x:c>
      <x:c r="F12" s="13" t="str">
        <x:f>IF(AND(ISNUMBER(C12),ISNUMBER(D12)),IF(C12=0,"",(D12-C12)/C12),"")</x:f>
      </x:c>
      <x:c r="G12" s="14"/>
      <x:c r="H12" s="14"/>
      <x:c r="I12" s="15"/>
      <x:c r="J12" s="11" t="str">
        <x:v>Séparer habitants et emplois en deux lignes</x:v>
      </x:c>
      <x:c r="K12" s="11" t="str">
        <x:v>Données à convenir avec les collègues</x:v>
      </x:c>
      <x:c r="L12" s="11" t="str"/>
      <x:c r="M12" s="11" t="str">
        <x:v>Attractivité et nouvelles destinations</x:v>
      </x:c>
    </x:row>
    <x:row r="13" ht="100" customHeight="1">
      <x:c r="A13" s="11" t="str">
        <x:v>P1-06</x:v>
      </x:c>
      <x:c r="B13" s="11" t="str">
        <x:v>Surface d’espace public</x:v>
      </x:c>
      <x:c r="C13" s="12"/>
      <x:c r="D13" s="12"/>
      <x:c r="E13" s="11" t="str">
        <x:v>m²</x:v>
      </x:c>
      <x:c r="F13" s="13" t="str">
        <x:f>IF(AND(ISNUMBER(C13),ISNUMBER(D13)),IF(C13=0,"",(D13-C13)/C13),"")</x:f>
      </x:c>
      <x:c r="G13" s="14"/>
      <x:c r="H13" s="14"/>
      <x:c r="I13" s="15"/>
      <x:c r="J13" s="11" t="str"/>
      <x:c r="K13" s="11" t="str">
        <x:v>Périmètre des aménagements</x:v>
      </x:c>
      <x:c r="L13" s="11" t="str"/>
      <x:c r="M13" s="11" t="str">
        <x:v>Qualité urbaine et sociabilité</x:v>
      </x:c>
    </x:row>
    <x:row r="14" ht="100" customHeight="1">
      <x:c r="A14" s="11" t="str">
        <x:v>P1-07</x:v>
      </x:c>
      <x:c r="B14" s="11" t="str">
        <x:v>Temps d’accès aux TP</x:v>
      </x:c>
      <x:c r="C14" s="12"/>
      <x:c r="D14" s="12"/>
      <x:c r="E14" s="11" t="str">
        <x:v>min</x:v>
      </x:c>
      <x:c r="F14" s="13" t="str">
        <x:f>IF(AND(ISNUMBER(C14),ISNUMBER(D14)),IF(C14=0,"",(D14-C14)/C14),"")</x:f>
      </x:c>
      <x:c r="G14" s="14"/>
      <x:c r="H14" s="14"/>
      <x:c r="I14" s="15"/>
      <x:c r="J14" s="11" t="str">
        <x:v>Séparer marche et vélo si nécessaire</x:v>
      </x:c>
      <x:c r="K14" s="11" t="str">
        <x:v>Zones et arrêts à vérifier</x:v>
      </x:c>
      <x:c r="L14" s="11" t="str">
        <x:v>mobility_hubs</x:v>
      </x:c>
      <x:c r="M14" s="11" t="str">
        <x:v>Continuité et sécurité</x:v>
      </x:c>
    </x:row>
    <x:row r="15" ht="100" customHeight="1">
      <x:c r="A15" s="11" t="str">
        <x:v>P2-01</x:v>
      </x:c>
      <x:c r="B15" s="11" t="str">
        <x:v>Temps du trajet cyclable</x:v>
      </x:c>
      <x:c r="C15" s="12"/>
      <x:c r="D15" s="12"/>
      <x:c r="E15" s="11" t="str">
        <x:v>min</x:v>
      </x:c>
      <x:c r="F15" s="13" t="str">
        <x:f>IF(AND(ISNUMBER(C15),ISNUMBER(D15)),IF(C15=0,"",(D15-C15)/C15),"")</x:f>
      </x:c>
      <x:c r="G15" s="14"/>
      <x:c r="H15" s="14"/>
      <x:c r="I15" s="15"/>
      <x:c r="J15" s="11" t="str">
        <x:v>Distinguer trajet vélo seul et accès vélo aux TP</x:v>
      </x:c>
      <x:c r="K15" s="11" t="str">
        <x:v>Relations OD à définir</x:v>
      </x:c>
      <x:c r="L15" s="11" t="str">
        <x:v>À déterminer</x:v>
      </x:c>
      <x:c r="M15" s="11" t="str">
        <x:v>Sécurité et continuité</x:v>
      </x:c>
    </x:row>
    <x:row r="16" ht="100" customHeight="1">
      <x:c r="A16" s="11" t="str">
        <x:v>P2-02</x:v>
      </x:c>
      <x:c r="B16" s="11" t="str">
        <x:v>Temps d’accès piéton aux TP</x:v>
      </x:c>
      <x:c r="C16" s="12"/>
      <x:c r="D16" s="12"/>
      <x:c r="E16" s="11" t="str">
        <x:v>min</x:v>
      </x:c>
      <x:c r="F16" s="13" t="str">
        <x:f>IF(AND(ISNUMBER(C16),ISNUMBER(D16)),IF(C16=0,"",(D16-C16)/C16),"")</x:f>
      </x:c>
      <x:c r="G16" s="14"/>
      <x:c r="H16" s="14"/>
      <x:c r="I16" s="15"/>
      <x:c r="J16" s="11" t="str"/>
      <x:c r="K16" s="11" t="str">
        <x:v>Zones et arrêts à définir</x:v>
      </x:c>
      <x:c r="L16" s="11" t="str">
        <x:v>mobility_hubs</x:v>
      </x:c>
      <x:c r="M16" s="11" t="str">
        <x:v>Sécurité et confort</x:v>
      </x:c>
    </x:row>
    <x:row r="17" ht="100" customHeight="1">
      <x:c r="A17" s="11" t="str">
        <x:v>P2-03</x:v>
      </x:c>
      <x:c r="B17" s="11" t="str">
        <x:v>Capacité routière</x:v>
      </x:c>
      <x:c r="C17" s="12"/>
      <x:c r="D17" s="12"/>
      <x:c r="E17" s="11" t="str">
        <x:v>véh/h/sens</x:v>
      </x:c>
      <x:c r="F17" s="13" t="str">
        <x:f>IF(AND(ISNUMBER(C17),ISNUMBER(D17)),IF(C17=0,"",(D17-C17)/C17),"")</x:f>
      </x:c>
      <x:c r="G17" s="14"/>
      <x:c r="H17" s="14"/>
      <x:c r="I17" s="15"/>
      <x:c r="J17" s="11" t="str">
        <x:v>Séparer les tronçons et les sens en lignes distinctes</x:v>
      </x:c>
      <x:c r="K17" s="11" t="str">
        <x:v>Identifiants dirigés à relever au 3.2</x:v>
      </x:c>
      <x:c r="L17" s="11" t="str">
        <x:v>road_capacity</x:v>
      </x:c>
      <x:c r="M17" s="11" t="str">
        <x:v>Qualité de l’espace réaffecté</x:v>
      </x:c>
    </x:row>
    <x:row r="18" ht="100" customHeight="1">
      <x:c r="A18" s="11"/>
      <x:c r="B18" s="11"/>
      <x:c r="C18" s="12"/>
      <x:c r="D18" s="12"/>
      <x:c r="E18" s="11"/>
      <x:c r="F18" s="13" t="str">
        <x:f>IF(AND(ISNUMBER(C18),ISNUMBER(D18)),IF(C18=0,"",(D18-C18)/C18),"")</x:f>
      </x:c>
      <x:c r="G18" s="14"/>
      <x:c r="H18" s="14"/>
      <x:c r="I18" s="15"/>
      <x:c r="J18" s="11"/>
      <x:c r="K18" s="11"/>
      <x:c r="L18" s="11"/>
      <x:c r="M18" s="11"/>
    </x:row>
    <x:row r="19" ht="100" customHeight="1">
      <x:c r="A19" s="11"/>
      <x:c r="B19" s="11"/>
      <x:c r="C19" s="12"/>
      <x:c r="D19" s="12"/>
      <x:c r="E19" s="11"/>
      <x:c r="F19" s="13" t="str">
        <x:f>IF(AND(ISNUMBER(C19),ISNUMBER(D19)),IF(C19=0,"",(D19-C19)/C19),"")</x:f>
      </x:c>
      <x:c r="G19" s="14"/>
      <x:c r="H19" s="14"/>
      <x:c r="I19" s="15"/>
      <x:c r="J19" s="11"/>
      <x:c r="K19" s="11"/>
      <x:c r="L19" s="11"/>
      <x:c r="M19" s="11"/>
    </x:row>
    <x:row r="20" ht="100" customHeight="1">
      <x:c r="A20" s="11"/>
      <x:c r="B20" s="11"/>
      <x:c r="C20" s="12"/>
      <x:c r="D20" s="12"/>
      <x:c r="E20" s="11"/>
      <x:c r="F20" s="13" t="str">
        <x:f>IF(AND(ISNUMBER(C20),ISNUMBER(D20)),IF(C20=0,"",(D20-C20)/C20),"")</x:f>
      </x:c>
      <x:c r="G20" s="14"/>
      <x:c r="H20" s="14"/>
      <x:c r="I20" s="15"/>
      <x:c r="J20" s="11"/>
      <x:c r="K20" s="11"/>
      <x:c r="L20" s="11"/>
      <x:c r="M20" s="11"/>
    </x:row>
    <x:row r="21" ht="100" customHeight="1">
      <x:c r="A21" s="11"/>
      <x:c r="B21" s="11"/>
      <x:c r="C21" s="12"/>
      <x:c r="D21" s="12"/>
      <x:c r="E21" s="11"/>
      <x:c r="F21" s="13" t="str">
        <x:f>IF(AND(ISNUMBER(C21),ISNUMBER(D21)),IF(C21=0,"",(D21-C21)/C21),"")</x:f>
      </x:c>
      <x:c r="G21" s="14"/>
      <x:c r="H21" s="14"/>
      <x:c r="I21" s="15"/>
      <x:c r="J21" s="11"/>
      <x:c r="K21" s="11"/>
      <x:c r="L21" s="11"/>
      <x:c r="M21" s="11"/>
    </x:row>
    <x:row r="22" ht="100" customHeight="1">
      <x:c r="A22" s="11"/>
      <x:c r="B22" s="11"/>
      <x:c r="C22" s="12"/>
      <x:c r="D22" s="12"/>
      <x:c r="E22" s="11"/>
      <x:c r="F22" s="13" t="str">
        <x:f>IF(AND(ISNUMBER(C22),ISNUMBER(D22)),IF(C22=0,"",(D22-C22)/C22),"")</x:f>
      </x:c>
      <x:c r="G22" s="14"/>
      <x:c r="H22" s="14"/>
      <x:c r="I22" s="15"/>
      <x:c r="J22" s="11"/>
      <x:c r="K22" s="11"/>
      <x:c r="L22" s="11"/>
      <x:c r="M22" s="11"/>
    </x:row>
    <x:row r="23" ht="100" customHeight="1">
      <x:c r="A23" s="11"/>
      <x:c r="B23" s="11"/>
      <x:c r="C23" s="12"/>
      <x:c r="D23" s="12"/>
      <x:c r="E23" s="11"/>
      <x:c r="F23" s="13" t="str">
        <x:f>IF(AND(ISNUMBER(C23),ISNUMBER(D23)),IF(C23=0,"",(D23-C23)/C23),"")</x:f>
      </x:c>
      <x:c r="G23" s="14"/>
      <x:c r="H23" s="14"/>
      <x:c r="I23" s="15"/>
      <x:c r="J23" s="11"/>
      <x:c r="K23" s="11"/>
      <x:c r="L23" s="11"/>
      <x:c r="M23" s="11"/>
    </x:row>
    <x:row r="24" ht="100" customHeight="1">
      <x:c r="A24" s="11"/>
      <x:c r="B24" s="11"/>
      <x:c r="C24" s="12"/>
      <x:c r="D24" s="12"/>
      <x:c r="E24" s="11"/>
      <x:c r="F24" s="13" t="str">
        <x:f>IF(AND(ISNUMBER(C24),ISNUMBER(D24)),IF(C24=0,"",(D24-C24)/C24),"")</x:f>
      </x:c>
      <x:c r="G24" s="14"/>
      <x:c r="H24" s="14"/>
      <x:c r="I24" s="15"/>
      <x:c r="J24" s="11"/>
      <x:c r="K24" s="11"/>
      <x:c r="L24" s="11"/>
      <x:c r="M24" s="11"/>
    </x:row>
    <x:row r="25" ht="100" customHeight="1">
      <x:c r="A25" s="11"/>
      <x:c r="B25" s="11"/>
      <x:c r="C25" s="12"/>
      <x:c r="D25" s="12"/>
      <x:c r="E25" s="11"/>
      <x:c r="F25" s="13" t="str">
        <x:f>IF(AND(ISNUMBER(C25),ISNUMBER(D25)),IF(C25=0,"",(D25-C25)/C25),"")</x:f>
      </x:c>
      <x:c r="G25" s="14"/>
      <x:c r="H25" s="14"/>
      <x:c r="I25" s="15"/>
      <x:c r="J25" s="11"/>
      <x:c r="K25" s="11"/>
      <x:c r="L25" s="11"/>
      <x:c r="M25" s="11"/>
    </x:row>
  </x:sheetData>
  <x:dataValidations count="1">
    <x:dataValidation type="list" sqref="L8:L25">
      <x:formula1>"À déterminer,mobility_hubs,bike_highways,railway_expansions,road_capacity,Demande OD,Hors modèle"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03f60a2e394c3c"/>
  </x:tableParts>
</x:worksheet>
</file>