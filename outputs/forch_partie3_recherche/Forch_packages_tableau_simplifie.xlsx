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972af3c33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1 - Accès et bus" sheetId="1" r:id="R05e0705713d24752"/>
    <x:sheet xmlns:r="http://schemas.openxmlformats.org/officeDocument/2006/relationships" name="P2 - Gare et double voie" sheetId="2" r:id="R23349c466ca2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##"/>
    <x:numFmt numFmtId="201" formatCode="#,##0"/>
  </x:numFmts>
  <x:fonts count="7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B4794"/>
      </x:patternFill>
    </x:fill>
    <x:fill>
      <x:patternFill patternType="solid">
        <x:fgColor rgb="FFFFF2CC"/>
      </x:patternFill>
    </x:fill>
    <x:fill>
      <x:patternFill patternType="solid">
        <x:fgColor rgb="FF246B7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77cf446ca4592" /><Relationship Type="http://schemas.openxmlformats.org/officeDocument/2006/relationships/theme" Target="/xl/theme/theme1.xml" Id="Rd5a510826b0942e0" /><Relationship Type="http://schemas.openxmlformats.org/officeDocument/2006/relationships/sharedStrings" Target="/xl/sharedStrings.xml" Id="R841ef0ced7ec4b18" /><Relationship Type="http://schemas.openxmlformats.org/officeDocument/2006/relationships/worksheet" Target="/xl/worksheets/sheet1.xml" Id="R05e0705713d24752" /><Relationship Type="http://schemas.openxmlformats.org/officeDocument/2006/relationships/worksheet" Target="/xl/worksheets/sheet2.xml" Id="R23349c466ca2492e" /></Relationships>
</file>

<file path=xl/tables/table1.xml><?xml version="1.0" encoding="utf-8"?>
<x:table xmlns:x="http://schemas.openxmlformats.org/spreadsheetml/2006/main" id="1" name="SimpleP1" displayName="SimpleP1" ref="A6:F9" headerRowCount="1" totalsRowCount="0" totalsRowShown="0">
  <x:tableColumns count="6">
    <x:tableColumn id="1" name="Intervention"/>
    <x:tableColumn id="2" name="Périmètre concerné"/>
    <x:tableColumn id="3" name="Paramètre modifié / donnée utile"/>
    <x:tableColumn id="4" name="Valeur retenue"/>
    <x:tableColumn id="5" name="CAPEX (CHF)"/>
    <x:tableColumn id="6" name="Source / just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mpleP2" displayName="SimpleP2" ref="A6:F11" headerRowCount="1" totalsRowCount="0" totalsRowShown="0">
  <x:tableColumns count="6">
    <x:tableColumn id="1" name="Intervention"/>
    <x:tableColumn id="2" name="Périmètre concerné"/>
    <x:tableColumn id="3" name="Paramètre modifié / donnée utile"/>
    <x:tableColumn id="4" name="Valeur retenue"/>
    <x:tableColumn id="5" name="CAPEX (CHF)"/>
    <x:tableColumn id="6" name="Source / just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4dacfdd59f47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75fb86b5624863" /></Relationships>
</file>

<file path=xl/worksheets/sheet1.xml><?xml version="1.0" encoding="utf-8"?>
<x:worksheet xmlns:x="http://schemas.openxmlformats.org/spreadsheetml/2006/main">
  <x:sheetPr>
    <x:tabColor rgb="FF5B479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46" hidden="0" customWidth="1"/>
    <x:col min="4" max="4" width="23" hidden="0" customWidth="1"/>
    <x:col min="5" max="5" width="22" hidden="0" customWidth="1"/>
    <x:col min="6" max="6" width="76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3" t="str">
        <x:v>Package 1 — Accès piétons, vélos et bus</x:v>
      </x:c>
      <x:c r="B2" s="1"/>
      <x:c r="C2" s="1"/>
      <x:c r="D2" s="1"/>
      <x:c r="E2" s="1"/>
      <x:c r="F2" s="1"/>
    </x:row>
    <x:row r="3">
      <x:c r="A3" s="1" t="str">
        <x:v>Compléter les cellules jaunes. Chaque valeur retenue doit avoir une source ou un calcul explicite.</x:v>
      </x:c>
      <x:c r="B3" s="1"/>
      <x:c r="C3" s="1"/>
      <x:c r="D3" s="1"/>
      <x:c r="E3" s="1"/>
      <x:c r="F3" s="1"/>
    </x:row>
    <x:row r="4">
      <x:c r="A4" s="1" t="str">
        <x:v>Une ligne par intervention. Les coûts sont des investissements supplémentaires par rapport à la situation de référence.</x:v>
      </x:c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6" customHeight="1">
      <x:c r="A6" s="8" t="str">
        <x:v>Intervention</x:v>
      </x:c>
      <x:c r="B6" s="8" t="str">
        <x:v>Périmètre concerné</x:v>
      </x:c>
      <x:c r="C6" s="8" t="str">
        <x:v>Paramètre modifié / donnée utile</x:v>
      </x:c>
      <x:c r="D6" s="8" t="str">
        <x:v>Valeur retenue</x:v>
      </x:c>
      <x:c r="E6" s="8" t="str">
        <x:v>CAPEX (CHF)</x:v>
      </x:c>
      <x:c r="F6" s="8" t="str">
        <x:v>Source / justification</x:v>
      </x:c>
    </x:row>
    <x:row r="7" ht="110" customHeight="1">
      <x:c r="A7" s="5" t="str">
        <x:v>Cheminements piétons</x:v>
      </x:c>
      <x:c r="B7" s="9" t="str">
        <x:v>À préciser : gare ou zones bénéficiant des travaux.</x:v>
      </x:c>
      <x:c r="C7" s="5" t="str">
        <x:v>Réduction du temps d’accès aux TP (%)
access_time_reduction_pct</x:v>
      </x:c>
      <x:c r="D7" s="10"/>
      <x:c r="E7" s="10"/>
      <x:c r="F7" s="9" t="str">
        <x:v>Justifier par un temps avant/après ou un calcul simple. Cibler les bénéficiaires réels. Vérifier les modes d’accès touchés par le réglage.</x:v>
      </x:c>
    </x:row>
    <x:row r="8" ht="110" customHeight="1">
      <x:c r="A8" s="5" t="str">
        <x:v>Itinéraires cyclables</x:v>
      </x:c>
      <x:c r="B8" s="9" t="str">
        <x:v>À préciser : relations entre zones ou secteurs concernés.</x:v>
      </x:c>
      <x:c r="C8" s="5" t="str">
        <x:v>Réduction du temps à vélo (%)
travel_time_reduction_pct dans bike_highways</x:v>
      </x:c>
      <x:c r="D8" s="10"/>
      <x:c r="E8" s="10"/>
      <x:c r="F8" s="9" t="str">
        <x:v>Source ou calcul de temps avant/après. Pas de tracé rue par rue à coder. Si l’amélioration concerne seulement l’accès vélo aux TP, vérifier le réglage approprié.</x:v>
      </x:c>
    </x:row>
    <x:row r="9" ht="110" customHeight="1">
      <x:c r="A9" s="5" t="str">
        <x:v>Bus 706</x:v>
      </x:c>
      <x:c r="B9" s="9" t="str">
        <x:v>À préciser : ligne, arrêts et relations concernés.</x:v>
      </x:c>
      <x:c r="C9" s="5" t="str">
        <x:v>Intervalle actuel / proposé (min)
Réglage à vérifier dans le modèle</x:v>
      </x:c>
      <x:c r="D9" s="10"/>
      <x:c r="E9" s="10"/>
      <x:c r="F9" s="9" t="str">
        <x:v>Horaire officiel ZVV/VZO et hypothèse de service. Vérifier la présence de la ligne dans la référence. Ne pas appliquer le gain à tous les TP. Préciser le coût annuel supplémentaire du service.</x:v>
      </x:c>
    </x:row>
    <x:row r="10">
      <x:c r="A10" s="1"/>
      <x:c r="B10" s="1"/>
      <x:c r="C10" s="1"/>
      <x:c r="D10" s="1"/>
      <x:c r="E10" s="1"/>
      <x:c r="F10" s="1"/>
    </x:row>
    <x:row r="11">
      <x:c r="A11" s="11" t="str">
        <x:v>Au niveau du package</x:v>
      </x:c>
      <x:c r="B11" s="1"/>
      <x:c r="C11" s="1"/>
      <x:c r="D11" s="1"/>
      <x:c r="E11" s="1"/>
      <x:c r="F11" s="1"/>
    </x:row>
    <x:row r="12" ht="62" customHeight="1">
      <x:c r="A12" s="5" t="str">
        <x:v>CAPEX total (CHF)</x:v>
      </x:c>
      <x:c r="B12" s="5"/>
      <x:c r="C12" s="5"/>
      <x:c r="D12" s="5"/>
      <x:c r="E12" s="14" t="str">
        <x:f>IF(COUNT(E7:E9)=3,SUM(E7:E9),"")</x:f>
      </x:c>
      <x:c r="F12" s="5" t="str">
        <x:v>Total calculé lorsque tous les CAPEX sont chiffrés. Saisir 0 uniquement si le coût est réellement nul ou déjà inclus, avec justification.</x:v>
      </x:c>
    </x:row>
    <x:row r="13" ht="62" customHeight="1">
      <x:c r="A13" s="5" t="str">
        <x:v>OPEX du modèle</x:v>
      </x:c>
      <x:c r="B13" s="5" t="str">
        <x:v>OPEX annuel = CAPEX actif × OPEX_RATE × OPEX_MULTIPLIER.</x:v>
      </x:c>
      <x:c r="C13" s="5"/>
      <x:c r="D13" s="5"/>
      <x:c r="E13" s="5"/>
      <x:c r="F13" s="5" t="str">
        <x:v>Valeurs actuelles du code : OPEX_RATE = 2 %/an, multiplicateur = 1. Hypothèse d’exemple à justifier pour Forch. Le service bus supplémentaire peut nécessiter une estimation et un traitement distincts.</x:v>
      </x:c>
    </x:row>
    <x:row r="14" ht="62" customHeight="1">
      <x:c r="A14" s="5" t="str">
        <x:v>À décrire brièvement</x:v>
      </x:c>
      <x:c r="B14" s="5" t="str">
        <x:v>Indépendance du package, délai plausible et principaux effets hors modèle.</x:v>
      </x:c>
      <x:c r="C14" s="5"/>
      <x:c r="D14" s="5"/>
      <x:c r="E14" s="5"/>
      <x:c r="F14" s="5" t="str">
        <x:v>Une courte justification suffit. Pas de dossier technique détaillé ni de gain de temps artificiel pour chaque équipement.</x:v>
      </x:c>
    </x:row>
    <x:row r="15" ht="62" customHeight="1">
      <x:c r="A15" s="5" t="str">
        <x:v>Référence cours</x:v>
      </x:c>
      <x:c r="B15" s="5" t="str">
        <x:v>Project Sheet 2, §3.1–3.3, pp. 11–13.</x:v>
      </x:c>
      <x:c r="C15" s="5"/>
      <x:c r="D15" s="5"/>
      <x:c r="E15" s="5"/>
      <x:c r="F15" s="5" t="str">
        <x:v>Les parts modales, temps totaux, congestion et émissions sont des résultats à calculer ensuite dans le notebook.</x:v>
      </x:c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</x:sheetData>
  <x:pageMargins left="0.7" right="0.7" top="0.75" bottom="0.75" header="0.3" footer="0.3"/>
  <x:tableParts count="1">
    <x:tablePart xmlns:r="http://schemas.openxmlformats.org/officeDocument/2006/relationships" r:id="Ra64dacfdd59f4786"/>
  </x:tableParts>
</x:worksheet>
</file>

<file path=xl/worksheets/sheet2.xml><?xml version="1.0" encoding="utf-8"?>
<x:worksheet xmlns:x="http://schemas.openxmlformats.org/spreadsheetml/2006/main">
  <x:sheetPr>
    <x:tabColor rgb="FF246B7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46" hidden="0" customWidth="1"/>
    <x:col min="4" max="4" width="23" hidden="0" customWidth="1"/>
    <x:col min="5" max="5" width="22" hidden="0" customWidth="1"/>
    <x:col min="6" max="6" width="76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3" t="str">
        <x:v>Package 2 — Gare et double voie</x:v>
      </x:c>
      <x:c r="B2" s="1"/>
      <x:c r="C2" s="1"/>
      <x:c r="D2" s="1"/>
      <x:c r="E2" s="1"/>
      <x:c r="F2" s="1"/>
    </x:row>
    <x:row r="3">
      <x:c r="A3" s="1" t="str">
        <x:v>Compléter les cellules jaunes. Chaque valeur retenue doit avoir une source ou un calcul explicite.</x:v>
      </x:c>
      <x:c r="B3" s="1"/>
      <x:c r="C3" s="1"/>
      <x:c r="D3" s="1"/>
      <x:c r="E3" s="1"/>
      <x:c r="F3" s="1"/>
    </x:row>
    <x:row r="4">
      <x:c r="A4" s="1" t="str">
        <x:v>Une ligne par intervention. Les coûts sont des investissements supplémentaires par rapport à la situation de référence.</x:v>
      </x:c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6" customHeight="1">
      <x:c r="A6" s="17" t="str">
        <x:v>Intervention</x:v>
      </x:c>
      <x:c r="B6" s="17" t="str">
        <x:v>Périmètre concerné</x:v>
      </x:c>
      <x:c r="C6" s="17" t="str">
        <x:v>Paramètre modifié / donnée utile</x:v>
      </x:c>
      <x:c r="D6" s="17" t="str">
        <x:v>Valeur retenue</x:v>
      </x:c>
      <x:c r="E6" s="17" t="str">
        <x:v>CAPEX (CHF)</x:v>
      </x:c>
      <x:c r="F6" s="17" t="str">
        <x:v>Source / justification</x:v>
      </x:c>
    </x:row>
    <x:row r="7" ht="110" customHeight="1">
      <x:c r="A7" s="5" t="str">
        <x:v>Parking souterrain</x:v>
      </x:c>
      <x:c r="B7" s="9" t="str">
        <x:v>À préciser : parking remplacé et nombre de places souterraines.</x:v>
      </x:c>
      <x:c r="C7" s="5" t="str">
        <x:v>Coût unitaire de construction (CHF/place)</x:v>
      </x:c>
      <x:c r="D7" s="10" t="n">
        <x:v>60000</x:v>
      </x:c>
      <x:c r="E7" s="10"/>
      <x:c r="F7" s="9" t="str">
        <x:v>Hypothèse centrale à valider, issue de la recherche précédente (40’000–80’000 CHF/place). CAPEX = places × coût/place, périmètre à vérifier. Lebau : https://www.lebau.ch/de/bewilligungen/autoabstellplatz-bauen-bewilligung-und-kosten-pro-platz/</x:v>
      </x:c>
    </x:row>
    <x:row r="8" ht="110" customHeight="1">
      <x:c r="A8" s="5" t="str">
        <x:v>Bornes électriques</x:v>
      </x:c>
      <x:c r="B8" s="9" t="str">
        <x:v>À préciser : parking et nombre de bornes installées.</x:v>
      </x:c>
      <x:c r="C8" s="5" t="str">
        <x:v>Pas d’effet de transport automatique
Nombre de bornes pour chiffrer le coût</x:v>
      </x:c>
      <x:c r="D8" s="10"/>
      <x:c r="E8" s="10"/>
      <x:c r="F8" s="9" t="str">
        <x:v>Prix fournisseur indicatif avec pose/raccordement. Vérifier ce qui est déjà inclus dans le parking. Bénéfice qualitatif si aucun effet représentable n’est établi.</x:v>
      </x:c>
    </x:row>
    <x:row r="9" ht="110" customHeight="1">
      <x:c r="A9" s="5" t="str">
        <x:v>Stationnement vélo</x:v>
      </x:c>
      <x:c r="B9" s="9" t="str">
        <x:v>À préciser : emplacement et places vélo avant/après.</x:v>
      </x:c>
      <x:c r="C9" s="5" t="str">
        <x:v>Capacité pour chiffrer le coût
Temps d’accès seulement si justifié</x:v>
      </x:c>
      <x:c r="D9" s="10"/>
      <x:c r="E9" s="10"/>
      <x:c r="F9" s="9" t="str">
        <x:v>Comptage et plan simple + prix par place. Aucun gain de temps automatique lié à l’augmentation du nombre de places. Si déplacement : estimer le temps jusqu’au quai avant/après.</x:v>
      </x:c>
    </x:row>
    <x:row r="10" ht="110" customHeight="1">
      <x:c r="A10" s="5" t="str">
        <x:v>Espace public</x:v>
      </x:c>
      <x:c r="B10" s="9" t="str">
        <x:v>À préciser : surface libérée et type d’aménagement.</x:v>
      </x:c>
      <x:c r="C10" s="5" t="str">
        <x:v>Pas d’effet de transport automatique
Surface (m²) pour chiffrer le coût</x:v>
      </x:c>
      <x:c r="D10" s="10"/>
      <x:c r="E10" s="10"/>
      <x:c r="F10" s="9" t="str">
        <x:v>Surface approximative × coût au m² d’un projet comparable, ou montant global. Décrire qualitativement l’espace public créé. Ne pas recompter les travaux inclus dans le parking.</x:v>
      </x:c>
    </x:row>
    <x:row r="11" ht="110" customHeight="1">
      <x:c r="A11" s="5" t="str">
        <x:v>Double voie Forch–Neue Forch</x:v>
      </x:c>
      <x:c r="B11" s="9" t="str">
        <x:v>À préciser : tronçon et trajets ferroviaires concernés.</x:v>
      </x:c>
      <x:c r="C11" s="5" t="str">
        <x:v>Gain de temps (min) et/ou intervalle actuel/proposé (min)
Réglage ciblé à vérifier</x:v>
      </x:c>
      <x:c r="D11" s="10"/>
      <x:c r="E11" s="10"/>
      <x:c r="F11" s="9" t="str">
        <x:v>Projet Forchbahn / horaire / hypothèse d’exploitation justifiée + coût du projet. Si seul le bénéfice de régularité est établi, le décrire qualitativement. Ne pas inventer de gain de temps.</x:v>
      </x:c>
    </x:row>
    <x:row r="12">
      <x:c r="A12" s="1"/>
      <x:c r="B12" s="1"/>
      <x:c r="C12" s="1"/>
      <x:c r="D12" s="1"/>
      <x:c r="E12" s="1"/>
      <x:c r="F12" s="1"/>
    </x:row>
    <x:row r="13">
      <x:c r="A13" s="11" t="str">
        <x:v>Au niveau du package</x:v>
      </x:c>
      <x:c r="B13" s="1"/>
      <x:c r="C13" s="1"/>
      <x:c r="D13" s="1"/>
      <x:c r="E13" s="1"/>
      <x:c r="F13" s="1"/>
    </x:row>
    <x:row r="14" ht="62" customHeight="1">
      <x:c r="A14" s="5" t="str">
        <x:v>CAPEX total (CHF)</x:v>
      </x:c>
      <x:c r="B14" s="5"/>
      <x:c r="C14" s="5"/>
      <x:c r="D14" s="5"/>
      <x:c r="E14" s="14" t="str">
        <x:f>IF(COUNT(E7:E11)=5,SUM(E7:E11),"")</x:f>
      </x:c>
      <x:c r="F14" s="5" t="str">
        <x:v>Total calculé lorsque tous les CAPEX sont chiffrés. Saisir 0 uniquement si le coût est réellement nul ou déjà inclus, avec justification.</x:v>
      </x:c>
    </x:row>
    <x:row r="15" ht="62" customHeight="1">
      <x:c r="A15" s="5" t="str">
        <x:v>OPEX du modèle</x:v>
      </x:c>
      <x:c r="B15" s="5" t="str">
        <x:v>OPEX annuel = CAPEX actif × OPEX_RATE × OPEX_MULTIPLIER.</x:v>
      </x:c>
      <x:c r="C15" s="5"/>
      <x:c r="D15" s="5"/>
      <x:c r="E15" s="5"/>
      <x:c r="F15" s="5" t="str">
        <x:v>Valeurs actuelles du code : OPEX_RATE = 2 %/an, multiplicateur = 1. Hypothèse d’exemple à justifier pour Forch. Le service bus supplémentaire peut nécessiter une estimation et un traitement distincts.</x:v>
      </x:c>
    </x:row>
    <x:row r="16" ht="62" customHeight="1">
      <x:c r="A16" s="5" t="str">
        <x:v>À décrire brièvement</x:v>
      </x:c>
      <x:c r="B16" s="5" t="str">
        <x:v>Indépendance du package, délai plausible et principaux effets hors modèle.</x:v>
      </x:c>
      <x:c r="C16" s="5"/>
      <x:c r="D16" s="5"/>
      <x:c r="E16" s="5"/>
      <x:c r="F16" s="5" t="str">
        <x:v>Une courte justification suffit. Pas de dossier technique détaillé ni de gain de temps artificiel pour chaque équipement.</x:v>
      </x:c>
    </x:row>
    <x:row r="17" ht="62" customHeight="1">
      <x:c r="A17" s="5" t="str">
        <x:v>Référence cours</x:v>
      </x:c>
      <x:c r="B17" s="5" t="str">
        <x:v>Project Sheet 2, §3.1–3.3, pp. 11–13.</x:v>
      </x:c>
      <x:c r="C17" s="5"/>
      <x:c r="D17" s="5"/>
      <x:c r="E17" s="5"/>
      <x:c r="F17" s="5" t="str">
        <x:v>Les parts modales, temps totaux, congestion et émissions sont des résultats à calculer ensuite dans le notebook.</x:v>
      </x:c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</x:sheetData>
  <x:pageMargins left="0.7" right="0.7" top="0.75" bottom="0.75" header="0.3" footer="0.3"/>
  <x:tableParts count="1">
    <x:tablePart xmlns:r="http://schemas.openxmlformats.org/officeDocument/2006/relationships" r:id="R4e75fb86b5624863"/>
  </x:tableParts>
</x:worksheet>
</file>